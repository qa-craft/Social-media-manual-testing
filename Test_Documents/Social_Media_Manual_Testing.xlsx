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d1d3b049a1073c/Desktop/"/>
    </mc:Choice>
  </mc:AlternateContent>
  <xr:revisionPtr revIDLastSave="353" documentId="8_{4CF97EB1-81F7-43A2-A9D6-6008D92F8E15}" xr6:coauthVersionLast="47" xr6:coauthVersionMax="47" xr10:uidLastSave="{4F4703BD-934B-449F-8D1B-AF7F8A059C57}"/>
  <bookViews>
    <workbookView xWindow="-108" yWindow="-108" windowWidth="23256" windowHeight="12456" activeTab="6" xr2:uid="{3C9D1E3B-FCB7-4107-A3F0-C755C5A6A3BA}"/>
  </bookViews>
  <sheets>
    <sheet name="Requirements" sheetId="1" r:id="rId1"/>
    <sheet name="Test Plan" sheetId="7" r:id="rId2"/>
    <sheet name="Test Scenarios" sheetId="2" r:id="rId3"/>
    <sheet name="Test Cases" sheetId="3" r:id="rId4"/>
    <sheet name="Test Execution" sheetId="4" r:id="rId5"/>
    <sheet name="Bug Report" sheetId="5" r:id="rId6"/>
    <sheet name="RTM" sheetId="6" r:id="rId7"/>
  </sheets>
  <definedNames>
    <definedName name="_xlnm._FilterDatabase" localSheetId="5" hidden="1">'Bug Report'!$F$1:$H$3</definedName>
    <definedName name="_xlnm._FilterDatabase" localSheetId="6" hidden="1">RTM!$F$1:$F$19</definedName>
    <definedName name="_xlnm._FilterDatabase" localSheetId="3" hidden="1">'Test Cases'!$L$1:$L$20</definedName>
    <definedName name="_xlnm._FilterDatabase" localSheetId="4" hidden="1">'Test Execution'!$F$8:$F$27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E4" i="4"/>
  <c r="E3" i="4"/>
  <c r="E2" i="4"/>
</calcChain>
</file>

<file path=xl/sharedStrings.xml><?xml version="1.0" encoding="utf-8"?>
<sst xmlns="http://schemas.openxmlformats.org/spreadsheetml/2006/main" count="543" uniqueCount="225">
  <si>
    <t>Requirement ID</t>
  </si>
  <si>
    <t>Module</t>
  </si>
  <si>
    <t>Requirement Description</t>
  </si>
  <si>
    <t>Priority</t>
  </si>
  <si>
    <t>REQ_LOGIN_001</t>
  </si>
  <si>
    <t>Login</t>
  </si>
  <si>
    <t>User should be able to open login page</t>
  </si>
  <si>
    <t>High</t>
  </si>
  <si>
    <t>REQ_LOGIN_002</t>
  </si>
  <si>
    <t>User should login with valid credentials</t>
  </si>
  <si>
    <t>REQ_LOGIN_003</t>
  </si>
  <si>
    <t>System should show error for invalid login</t>
  </si>
  <si>
    <t>REQ_POST_001</t>
  </si>
  <si>
    <t>Post</t>
  </si>
  <si>
    <t>User should be able to create a post</t>
  </si>
  <si>
    <t>REQ_POST_002</t>
  </si>
  <si>
    <t>User should see posted content on timeline</t>
  </si>
  <si>
    <t>REQ_REACT_001</t>
  </si>
  <si>
    <t>Reaction</t>
  </si>
  <si>
    <t>User should like a post</t>
  </si>
  <si>
    <t>Medium</t>
  </si>
  <si>
    <t>REQ_COMMENT_001</t>
  </si>
  <si>
    <t>Comment</t>
  </si>
  <si>
    <t>User should comment on a post</t>
  </si>
  <si>
    <t>REQ_FRIEND_001</t>
  </si>
  <si>
    <t>Friend Request</t>
  </si>
  <si>
    <t>User should send friend request</t>
  </si>
  <si>
    <t>REQ_FRIEND_002</t>
  </si>
  <si>
    <t>User should accept friend request</t>
  </si>
  <si>
    <t>REQ_LOGOUT_001</t>
  </si>
  <si>
    <t>Logout</t>
  </si>
  <si>
    <t>User should logout successfully</t>
  </si>
  <si>
    <t>Scenario ID</t>
  </si>
  <si>
    <t>Test Scenario</t>
  </si>
  <si>
    <t>TS_LOGIN_001</t>
  </si>
  <si>
    <t>Verify login page loads successfully</t>
  </si>
  <si>
    <t>TS_LOGIN_002</t>
  </si>
  <si>
    <t>Verify login with valid credentials</t>
  </si>
  <si>
    <t>TS_LOGIN_003</t>
  </si>
  <si>
    <t>Verify login with invalid credentials</t>
  </si>
  <si>
    <t>TS_POST_001</t>
  </si>
  <si>
    <t>Verify user can create a new post</t>
  </si>
  <si>
    <t>TS_POST_002</t>
  </si>
  <si>
    <t>Verify post appears on timeline</t>
  </si>
  <si>
    <t>TS_REACT_001</t>
  </si>
  <si>
    <t>Verify user can like a post</t>
  </si>
  <si>
    <t>TS_COMMENT_001</t>
  </si>
  <si>
    <t>Verify user can comment on a post</t>
  </si>
  <si>
    <t>TS_FRIEND_001</t>
  </si>
  <si>
    <t>Friend</t>
  </si>
  <si>
    <t>Verify user can send friend request</t>
  </si>
  <si>
    <t>TS_FRIEND_002</t>
  </si>
  <si>
    <t>Verify user can accept friend request</t>
  </si>
  <si>
    <t>TS_LOGOUT_001</t>
  </si>
  <si>
    <t>Verify user logout functionality</t>
  </si>
  <si>
    <t>Test Case ID</t>
  </si>
  <si>
    <t>Title</t>
  </si>
  <si>
    <t>Pre-Requisite</t>
  </si>
  <si>
    <t>Test Data</t>
  </si>
  <si>
    <t>Test Steps</t>
  </si>
  <si>
    <t>Expected Result</t>
  </si>
  <si>
    <t>Actual Result</t>
  </si>
  <si>
    <t>Status</t>
  </si>
  <si>
    <t>Regression</t>
  </si>
  <si>
    <t>TC_LOGIN_001</t>
  </si>
  <si>
    <t>Verify login page loads</t>
  </si>
  <si>
    <t>User has URL</t>
  </si>
  <si>
    <t>Login page loads</t>
  </si>
  <si>
    <t>Login page opened</t>
  </si>
  <si>
    <t>Pass</t>
  </si>
  <si>
    <t>TC_LOGIN_002</t>
  </si>
  <si>
    <t>Login with valid credentials</t>
  </si>
  <si>
    <t>User on login page</t>
  </si>
  <si>
    <t>valid email/password</t>
  </si>
  <si>
    <t>User logged in</t>
  </si>
  <si>
    <t>TC_LOGIN_003</t>
  </si>
  <si>
    <t>Login with invalid password</t>
  </si>
  <si>
    <t>wrong password</t>
  </si>
  <si>
    <t>Error displayed</t>
  </si>
  <si>
    <t>TC_LOGIN_004</t>
  </si>
  <si>
    <t>Login with empty fields</t>
  </si>
  <si>
    <t>Blank</t>
  </si>
  <si>
    <t>Validation shown</t>
  </si>
  <si>
    <t>TC_LOGIN_005</t>
  </si>
  <si>
    <t>Login with invalid email format</t>
  </si>
  <si>
    <t>user@test</t>
  </si>
  <si>
    <t>Error message displayed</t>
  </si>
  <si>
    <t>TC_POST_001</t>
  </si>
  <si>
    <t>Create text post</t>
  </si>
  <si>
    <t>Hello world</t>
  </si>
  <si>
    <t>Post created</t>
  </si>
  <si>
    <t>Post displayed</t>
  </si>
  <si>
    <t>TC_POST_002</t>
  </si>
  <si>
    <t>Verify post appears after refresh</t>
  </si>
  <si>
    <t>1 Refresh page</t>
  </si>
  <si>
    <t>Post visible</t>
  </si>
  <si>
    <t>TC_POST_003</t>
  </si>
  <si>
    <t>Create long text post</t>
  </si>
  <si>
    <t>500 characters</t>
  </si>
  <si>
    <t>TC_POST_004</t>
  </si>
  <si>
    <t>Create post with emojis</t>
  </si>
  <si>
    <t>🙂🙂🙂</t>
  </si>
  <si>
    <t>TC_REACT_001</t>
  </si>
  <si>
    <t>Like a post</t>
  </si>
  <si>
    <t>Post exists</t>
  </si>
  <si>
    <t>N/A</t>
  </si>
  <si>
    <t>1 Click like button</t>
  </si>
  <si>
    <t>Like count increases</t>
  </si>
  <si>
    <t>Like added</t>
  </si>
  <si>
    <t>TC_REACT_002</t>
  </si>
  <si>
    <t>Unlike a post</t>
  </si>
  <si>
    <t>Post liked</t>
  </si>
  <si>
    <t>1 Click like again</t>
  </si>
  <si>
    <t>Like removed</t>
  </si>
  <si>
    <t>TC_COMMENT_001</t>
  </si>
  <si>
    <t>Add comment to post</t>
  </si>
  <si>
    <t>Nice post</t>
  </si>
  <si>
    <t>Comment visible</t>
  </si>
  <si>
    <t>Comment displayed</t>
  </si>
  <si>
    <t>TC_COMMENT_002</t>
  </si>
  <si>
    <t>Add empty comment</t>
  </si>
  <si>
    <t>Validation message</t>
  </si>
  <si>
    <t>TC_COMMENT_003</t>
  </si>
  <si>
    <t>Add long comment</t>
  </si>
  <si>
    <t>Long text</t>
  </si>
  <si>
    <t>TC_FRIEND_001</t>
  </si>
  <si>
    <t>Send friend request</t>
  </si>
  <si>
    <t>Friend profile</t>
  </si>
  <si>
    <t>Request sent</t>
  </si>
  <si>
    <t>TC_FRIEND_002</t>
  </si>
  <si>
    <t>Accept friend request</t>
  </si>
  <si>
    <t>Request received</t>
  </si>
  <si>
    <t>Friend added</t>
  </si>
  <si>
    <t>TC_FRIEND_003</t>
  </si>
  <si>
    <t>Send duplicate friend request</t>
  </si>
  <si>
    <t>Request already sent</t>
  </si>
  <si>
    <t>1 Click Add Friend again</t>
  </si>
  <si>
    <t>System prevents duplicate request</t>
  </si>
  <si>
    <t>Duplicate prevented</t>
  </si>
  <si>
    <t>TC_LOGOUT_001</t>
  </si>
  <si>
    <t>Logout user</t>
  </si>
  <si>
    <t>User logged out</t>
  </si>
  <si>
    <t>Logout successful</t>
  </si>
  <si>
    <t>https://www.facebook.com/</t>
  </si>
  <si>
    <t>1 Enter URL
2 Press Enter</t>
  </si>
  <si>
    <t>1 Enter email
2 Enter password
3 Click login</t>
  </si>
  <si>
    <t>1 Enter email
2 Enter wrong password
3 Click login</t>
  </si>
  <si>
    <t>1 Leave fields empty
2 Click login</t>
  </si>
  <si>
    <t>1 Enter invalid email
2 Click login</t>
  </si>
  <si>
    <t>1 Click create post
2 Enter text
3 Click post</t>
  </si>
  <si>
    <t>1 Enter long text
2 Click post</t>
  </si>
  <si>
    <t>1 Enter emojis
2 Click post</t>
  </si>
  <si>
    <t>1 Click comment
2 Enter text
3 Submit</t>
  </si>
  <si>
    <t>1 Click comment
2 Submit blank</t>
  </si>
  <si>
    <t>1 Enter long comment
2 Submit</t>
  </si>
  <si>
    <t>1 Open profile
2 Click Add Friend</t>
  </si>
  <si>
    <t>1 Open requests
2 Click accept</t>
  </si>
  <si>
    <t>1 Click profile menu
2 Click logout</t>
  </si>
  <si>
    <t>Executed By</t>
  </si>
  <si>
    <t>Execution Date</t>
  </si>
  <si>
    <t>Comments</t>
  </si>
  <si>
    <t>Login page loads successfully</t>
  </si>
  <si>
    <t>User logged in successfully</t>
  </si>
  <si>
    <t>Error displayed for wrong password</t>
  </si>
  <si>
    <t>Validation message displayed</t>
  </si>
  <si>
    <t>Invalid email validation working</t>
  </si>
  <si>
    <t>Post created successfully</t>
  </si>
  <si>
    <t>Post visible after refresh</t>
  </si>
  <si>
    <t>Long text post created</t>
  </si>
  <si>
    <t>Emoji post created</t>
  </si>
  <si>
    <t>Like added successfully</t>
  </si>
  <si>
    <t>Like removed successfully</t>
  </si>
  <si>
    <t>Comment added successfully</t>
  </si>
  <si>
    <t>Fail</t>
  </si>
  <si>
    <t>System allowed empty comment</t>
  </si>
  <si>
    <t>Long comment posted</t>
  </si>
  <si>
    <t>Friend request sent</t>
  </si>
  <si>
    <t>Friend request accepted</t>
  </si>
  <si>
    <t>Duplicate request allowed</t>
  </si>
  <si>
    <t>SL.No</t>
  </si>
  <si>
    <t>SL.NO</t>
  </si>
  <si>
    <t>Bug ID</t>
  </si>
  <si>
    <t>Bug Title</t>
  </si>
  <si>
    <t>Severity</t>
  </si>
  <si>
    <t>Steps to Reproduce</t>
  </si>
  <si>
    <t>Reported By</t>
  </si>
  <si>
    <t>Date</t>
  </si>
  <si>
    <t>BUG_FB_001</t>
  </si>
  <si>
    <t>Empty comment allowed</t>
  </si>
  <si>
    <t>Open</t>
  </si>
  <si>
    <t>System should show validation</t>
  </si>
  <si>
    <t>Empty comment posted</t>
  </si>
  <si>
    <t>BUG_FB_002</t>
  </si>
  <si>
    <t>Duplicate friend request allowed</t>
  </si>
  <si>
    <t>System should block duplicate request</t>
  </si>
  <si>
    <t>Duplicate request sent</t>
  </si>
  <si>
    <t>1 Open post
2 Click comment
3 Submit empty comment</t>
  </si>
  <si>
    <t>1 Send friend request
2 Click Add Friend again</t>
  </si>
  <si>
    <t>Test Case Description</t>
  </si>
  <si>
    <t>Execution Status</t>
  </si>
  <si>
    <t>Section</t>
  </si>
  <si>
    <t>Details</t>
  </si>
  <si>
    <t>Project Name</t>
  </si>
  <si>
    <t>Objective</t>
  </si>
  <si>
    <t>Scope</t>
  </si>
  <si>
    <t>Login, News Feed, Post Creation, Profile Management, Friend Requests</t>
  </si>
  <si>
    <t>Testing Type</t>
  </si>
  <si>
    <t>Functional Testing, UI Testing, Negative Testing, Regression Testing</t>
  </si>
  <si>
    <t>Test Environment</t>
  </si>
  <si>
    <t>Windows 10, Chrome Browser</t>
  </si>
  <si>
    <t>Entry Criteria</t>
  </si>
  <si>
    <t>Application build available, test cases prepared</t>
  </si>
  <si>
    <t>Exit Criteria</t>
  </si>
  <si>
    <t>All test cases executed and critical defects resolved</t>
  </si>
  <si>
    <t>Deliverables</t>
  </si>
  <si>
    <t>Test Plan, Test Scenarios, Test Cases, Bug Reports, Test Execution Report, RTM</t>
  </si>
  <si>
    <t>QA Analyst</t>
  </si>
  <si>
    <t>Test Execution</t>
  </si>
  <si>
    <t>Total Test Cases</t>
  </si>
  <si>
    <t>Passed</t>
  </si>
  <si>
    <t>Failed</t>
  </si>
  <si>
    <t>Blocked</t>
  </si>
  <si>
    <t>Pass%</t>
  </si>
  <si>
    <t xml:space="preserve"> Social Media Manual Testing</t>
  </si>
  <si>
    <t>Validate core functionality of the social media web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</si>
</sst>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5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B910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91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EFFD-3232-4422-ACA8-2B3725B6C45B}">
  <dimension ref="A1:D11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2" max="3" width="27.77734375" customWidth="1"/>
    <col min="4" max="4" width="56.44140625" customWidth="1"/>
  </cols>
  <sheetData>
    <row r="1" spans="1:4" ht="34.950000000000003" customHeight="1" x14ac:dyDescent="0.3">
      <c r="A1" s="12" t="s">
        <v>179</v>
      </c>
      <c r="B1" s="5" t="s">
        <v>0</v>
      </c>
      <c r="C1" s="5" t="s">
        <v>1</v>
      </c>
      <c r="D1" s="6" t="s">
        <v>2</v>
      </c>
    </row>
    <row r="2" spans="1:4" ht="34.950000000000003" customHeight="1" x14ac:dyDescent="0.3">
      <c r="A2" s="13">
        <v>1</v>
      </c>
      <c r="B2" s="3" t="s">
        <v>4</v>
      </c>
      <c r="C2" s="3" t="s">
        <v>5</v>
      </c>
      <c r="D2" s="8" t="s">
        <v>6</v>
      </c>
    </row>
    <row r="3" spans="1:4" ht="34.950000000000003" customHeight="1" x14ac:dyDescent="0.3">
      <c r="A3" s="13">
        <v>2</v>
      </c>
      <c r="B3" s="3" t="s">
        <v>8</v>
      </c>
      <c r="C3" s="3" t="s">
        <v>5</v>
      </c>
      <c r="D3" s="8" t="s">
        <v>9</v>
      </c>
    </row>
    <row r="4" spans="1:4" ht="34.950000000000003" customHeight="1" x14ac:dyDescent="0.3">
      <c r="A4" s="13">
        <v>3</v>
      </c>
      <c r="B4" s="3" t="s">
        <v>10</v>
      </c>
      <c r="C4" s="3" t="s">
        <v>5</v>
      </c>
      <c r="D4" s="8" t="s">
        <v>11</v>
      </c>
    </row>
    <row r="5" spans="1:4" ht="34.950000000000003" customHeight="1" x14ac:dyDescent="0.3">
      <c r="A5" s="13">
        <v>4</v>
      </c>
      <c r="B5" s="3" t="s">
        <v>12</v>
      </c>
      <c r="C5" s="3" t="s">
        <v>13</v>
      </c>
      <c r="D5" s="8" t="s">
        <v>14</v>
      </c>
    </row>
    <row r="6" spans="1:4" ht="34.950000000000003" customHeight="1" x14ac:dyDescent="0.3">
      <c r="A6" s="13">
        <v>5</v>
      </c>
      <c r="B6" s="3" t="s">
        <v>15</v>
      </c>
      <c r="C6" s="3" t="s">
        <v>13</v>
      </c>
      <c r="D6" s="8" t="s">
        <v>16</v>
      </c>
    </row>
    <row r="7" spans="1:4" ht="34.950000000000003" customHeight="1" x14ac:dyDescent="0.3">
      <c r="A7" s="13">
        <v>6</v>
      </c>
      <c r="B7" s="3" t="s">
        <v>17</v>
      </c>
      <c r="C7" s="3" t="s">
        <v>18</v>
      </c>
      <c r="D7" s="8" t="s">
        <v>19</v>
      </c>
    </row>
    <row r="8" spans="1:4" ht="34.950000000000003" customHeight="1" x14ac:dyDescent="0.3">
      <c r="A8" s="13">
        <v>7</v>
      </c>
      <c r="B8" s="3" t="s">
        <v>21</v>
      </c>
      <c r="C8" s="3" t="s">
        <v>22</v>
      </c>
      <c r="D8" s="8" t="s">
        <v>23</v>
      </c>
    </row>
    <row r="9" spans="1:4" ht="34.950000000000003" customHeight="1" x14ac:dyDescent="0.3">
      <c r="A9" s="13">
        <v>8</v>
      </c>
      <c r="B9" s="3" t="s">
        <v>24</v>
      </c>
      <c r="C9" s="3" t="s">
        <v>25</v>
      </c>
      <c r="D9" s="8" t="s">
        <v>26</v>
      </c>
    </row>
    <row r="10" spans="1:4" ht="34.950000000000003" customHeight="1" x14ac:dyDescent="0.3">
      <c r="A10" s="13">
        <v>9</v>
      </c>
      <c r="B10" s="3" t="s">
        <v>27</v>
      </c>
      <c r="C10" s="3" t="s">
        <v>25</v>
      </c>
      <c r="D10" s="8" t="s">
        <v>28</v>
      </c>
    </row>
    <row r="11" spans="1:4" ht="34.950000000000003" customHeight="1" thickBot="1" x14ac:dyDescent="0.35">
      <c r="A11" s="14">
        <v>10</v>
      </c>
      <c r="B11" s="10" t="s">
        <v>29</v>
      </c>
      <c r="C11" s="10" t="s">
        <v>30</v>
      </c>
      <c r="D11" s="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14BF-17BA-456F-B37B-08213F0DFA28}">
  <dimension ref="A1:C9"/>
  <sheetViews>
    <sheetView workbookViewId="0">
      <pane ySplit="1" topLeftCell="A3" activePane="bottomLeft" state="frozen"/>
      <selection pane="bottomLeft" activeCell="C9" sqref="C9"/>
    </sheetView>
  </sheetViews>
  <sheetFormatPr defaultRowHeight="14.4" x14ac:dyDescent="0.3"/>
  <cols>
    <col min="1" max="1" width="12" customWidth="1"/>
    <col min="2" max="2" width="29.109375" customWidth="1"/>
    <col min="3" max="3" width="53.109375" customWidth="1"/>
  </cols>
  <sheetData>
    <row r="1" spans="1:3" ht="35.4" customHeight="1" x14ac:dyDescent="0.3">
      <c r="A1" s="4" t="s">
        <v>179</v>
      </c>
      <c r="B1" s="5" t="s">
        <v>200</v>
      </c>
      <c r="C1" s="6" t="s">
        <v>201</v>
      </c>
    </row>
    <row r="2" spans="1:3" ht="45" customHeight="1" x14ac:dyDescent="0.3">
      <c r="A2" s="7">
        <v>1</v>
      </c>
      <c r="B2" s="3" t="s">
        <v>202</v>
      </c>
      <c r="C2" s="8" t="s">
        <v>223</v>
      </c>
    </row>
    <row r="3" spans="1:3" ht="45" customHeight="1" x14ac:dyDescent="0.3">
      <c r="A3" s="7">
        <v>2</v>
      </c>
      <c r="B3" s="3" t="s">
        <v>203</v>
      </c>
      <c r="C3" s="8" t="s">
        <v>224</v>
      </c>
    </row>
    <row r="4" spans="1:3" ht="45" customHeight="1" x14ac:dyDescent="0.3">
      <c r="A4" s="7">
        <v>3</v>
      </c>
      <c r="B4" s="3" t="s">
        <v>204</v>
      </c>
      <c r="C4" s="8" t="s">
        <v>205</v>
      </c>
    </row>
    <row r="5" spans="1:3" ht="45" customHeight="1" x14ac:dyDescent="0.3">
      <c r="A5" s="7">
        <v>4</v>
      </c>
      <c r="B5" s="3" t="s">
        <v>206</v>
      </c>
      <c r="C5" s="8" t="s">
        <v>207</v>
      </c>
    </row>
    <row r="6" spans="1:3" ht="45" customHeight="1" x14ac:dyDescent="0.3">
      <c r="A6" s="7">
        <v>5</v>
      </c>
      <c r="B6" s="3" t="s">
        <v>208</v>
      </c>
      <c r="C6" s="8" t="s">
        <v>209</v>
      </c>
    </row>
    <row r="7" spans="1:3" ht="45" customHeight="1" x14ac:dyDescent="0.3">
      <c r="A7" s="7">
        <v>6</v>
      </c>
      <c r="B7" s="3" t="s">
        <v>210</v>
      </c>
      <c r="C7" s="8" t="s">
        <v>211</v>
      </c>
    </row>
    <row r="8" spans="1:3" ht="45" customHeight="1" x14ac:dyDescent="0.3">
      <c r="A8" s="7">
        <v>7</v>
      </c>
      <c r="B8" s="3" t="s">
        <v>212</v>
      </c>
      <c r="C8" s="8" t="s">
        <v>213</v>
      </c>
    </row>
    <row r="9" spans="1:3" ht="45" customHeight="1" thickBot="1" x14ac:dyDescent="0.35">
      <c r="A9" s="9">
        <v>8</v>
      </c>
      <c r="B9" s="10" t="s">
        <v>214</v>
      </c>
      <c r="C9" s="11" t="s">
        <v>215</v>
      </c>
    </row>
  </sheetData>
  <pageMargins left="0.7" right="0.7" top="0.75" bottom="0.75" header="0.3" footer="0.3"/>
  <pageSetup paperSize="272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3C5E-494C-40C2-B9E7-6EFB31BB0BBC}">
  <dimension ref="A1:E11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2" max="5" width="30.77734375" customWidth="1"/>
  </cols>
  <sheetData>
    <row r="1" spans="1:5" ht="40.049999999999997" customHeight="1" x14ac:dyDescent="0.3">
      <c r="A1" s="12" t="s">
        <v>180</v>
      </c>
      <c r="B1" s="5" t="s">
        <v>32</v>
      </c>
      <c r="C1" s="5" t="s">
        <v>0</v>
      </c>
      <c r="D1" s="5" t="s">
        <v>1</v>
      </c>
      <c r="E1" s="6" t="s">
        <v>33</v>
      </c>
    </row>
    <row r="2" spans="1:5" ht="40.049999999999997" customHeight="1" x14ac:dyDescent="0.3">
      <c r="A2" s="13">
        <v>1</v>
      </c>
      <c r="B2" s="3" t="s">
        <v>34</v>
      </c>
      <c r="C2" s="3" t="s">
        <v>4</v>
      </c>
      <c r="D2" s="3" t="s">
        <v>5</v>
      </c>
      <c r="E2" s="8" t="s">
        <v>35</v>
      </c>
    </row>
    <row r="3" spans="1:5" ht="40.049999999999997" customHeight="1" x14ac:dyDescent="0.3">
      <c r="A3" s="13">
        <v>2</v>
      </c>
      <c r="B3" s="3" t="s">
        <v>36</v>
      </c>
      <c r="C3" s="3" t="s">
        <v>8</v>
      </c>
      <c r="D3" s="3" t="s">
        <v>5</v>
      </c>
      <c r="E3" s="8" t="s">
        <v>37</v>
      </c>
    </row>
    <row r="4" spans="1:5" ht="40.049999999999997" customHeight="1" x14ac:dyDescent="0.3">
      <c r="A4" s="13">
        <v>3</v>
      </c>
      <c r="B4" s="3" t="s">
        <v>38</v>
      </c>
      <c r="C4" s="3" t="s">
        <v>10</v>
      </c>
      <c r="D4" s="3" t="s">
        <v>5</v>
      </c>
      <c r="E4" s="8" t="s">
        <v>39</v>
      </c>
    </row>
    <row r="5" spans="1:5" ht="40.049999999999997" customHeight="1" x14ac:dyDescent="0.3">
      <c r="A5" s="13">
        <v>4</v>
      </c>
      <c r="B5" s="3" t="s">
        <v>40</v>
      </c>
      <c r="C5" s="3" t="s">
        <v>12</v>
      </c>
      <c r="D5" s="3" t="s">
        <v>13</v>
      </c>
      <c r="E5" s="8" t="s">
        <v>41</v>
      </c>
    </row>
    <row r="6" spans="1:5" ht="40.049999999999997" customHeight="1" x14ac:dyDescent="0.3">
      <c r="A6" s="13">
        <v>5</v>
      </c>
      <c r="B6" s="3" t="s">
        <v>42</v>
      </c>
      <c r="C6" s="3" t="s">
        <v>15</v>
      </c>
      <c r="D6" s="3" t="s">
        <v>13</v>
      </c>
      <c r="E6" s="8" t="s">
        <v>43</v>
      </c>
    </row>
    <row r="7" spans="1:5" ht="40.049999999999997" customHeight="1" x14ac:dyDescent="0.3">
      <c r="A7" s="13">
        <v>6</v>
      </c>
      <c r="B7" s="3" t="s">
        <v>44</v>
      </c>
      <c r="C7" s="3" t="s">
        <v>17</v>
      </c>
      <c r="D7" s="3" t="s">
        <v>18</v>
      </c>
      <c r="E7" s="8" t="s">
        <v>45</v>
      </c>
    </row>
    <row r="8" spans="1:5" ht="40.049999999999997" customHeight="1" x14ac:dyDescent="0.3">
      <c r="A8" s="13">
        <v>7</v>
      </c>
      <c r="B8" s="3" t="s">
        <v>46</v>
      </c>
      <c r="C8" s="3" t="s">
        <v>21</v>
      </c>
      <c r="D8" s="3" t="s">
        <v>22</v>
      </c>
      <c r="E8" s="8" t="s">
        <v>47</v>
      </c>
    </row>
    <row r="9" spans="1:5" ht="40.049999999999997" customHeight="1" x14ac:dyDescent="0.3">
      <c r="A9" s="13">
        <v>8</v>
      </c>
      <c r="B9" s="3" t="s">
        <v>48</v>
      </c>
      <c r="C9" s="3" t="s">
        <v>24</v>
      </c>
      <c r="D9" s="3" t="s">
        <v>49</v>
      </c>
      <c r="E9" s="8" t="s">
        <v>50</v>
      </c>
    </row>
    <row r="10" spans="1:5" ht="40.049999999999997" customHeight="1" x14ac:dyDescent="0.3">
      <c r="A10" s="13">
        <v>9</v>
      </c>
      <c r="B10" s="3" t="s">
        <v>51</v>
      </c>
      <c r="C10" s="3" t="s">
        <v>27</v>
      </c>
      <c r="D10" s="3" t="s">
        <v>49</v>
      </c>
      <c r="E10" s="8" t="s">
        <v>52</v>
      </c>
    </row>
    <row r="11" spans="1:5" ht="40.049999999999997" customHeight="1" thickBot="1" x14ac:dyDescent="0.35">
      <c r="A11" s="14">
        <v>10</v>
      </c>
      <c r="B11" s="10" t="s">
        <v>53</v>
      </c>
      <c r="C11" s="10" t="s">
        <v>29</v>
      </c>
      <c r="D11" s="10" t="s">
        <v>30</v>
      </c>
      <c r="E11" s="1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9DD3-7BDD-41D6-9D89-4D06178CE7C8}">
  <dimension ref="A1:M20"/>
  <sheetViews>
    <sheetView workbookViewId="0">
      <pane ySplit="1" topLeftCell="A11" activePane="bottomLeft" state="frozen"/>
      <selection pane="bottomLeft" activeCell="B17" sqref="B17"/>
    </sheetView>
  </sheetViews>
  <sheetFormatPr defaultRowHeight="14.4" x14ac:dyDescent="0.3"/>
  <cols>
    <col min="1" max="1" width="12.33203125" customWidth="1"/>
    <col min="2" max="5" width="25.77734375" customWidth="1"/>
    <col min="6" max="6" width="32.33203125" customWidth="1"/>
    <col min="7" max="13" width="25.77734375" customWidth="1"/>
  </cols>
  <sheetData>
    <row r="1" spans="1:13" ht="34.950000000000003" customHeight="1" x14ac:dyDescent="0.3">
      <c r="A1" s="4" t="s">
        <v>179</v>
      </c>
      <c r="B1" s="5" t="s">
        <v>55</v>
      </c>
      <c r="C1" s="5" t="s">
        <v>32</v>
      </c>
      <c r="D1" s="5" t="s">
        <v>0</v>
      </c>
      <c r="E1" s="5" t="s">
        <v>1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6" t="s">
        <v>63</v>
      </c>
    </row>
    <row r="2" spans="1:13" ht="34.950000000000003" customHeight="1" x14ac:dyDescent="0.3">
      <c r="A2" s="7">
        <v>1</v>
      </c>
      <c r="B2" s="3" t="s">
        <v>64</v>
      </c>
      <c r="C2" s="3" t="s">
        <v>34</v>
      </c>
      <c r="D2" s="3" t="s">
        <v>4</v>
      </c>
      <c r="E2" s="3" t="s">
        <v>5</v>
      </c>
      <c r="F2" s="3" t="s">
        <v>65</v>
      </c>
      <c r="G2" s="3" t="s">
        <v>66</v>
      </c>
      <c r="H2" s="17" t="s">
        <v>143</v>
      </c>
      <c r="I2" s="3" t="s">
        <v>144</v>
      </c>
      <c r="J2" s="3" t="s">
        <v>67</v>
      </c>
      <c r="K2" s="3" t="s">
        <v>68</v>
      </c>
      <c r="L2" s="3" t="s">
        <v>69</v>
      </c>
      <c r="M2" s="8"/>
    </row>
    <row r="3" spans="1:13" ht="48.6" customHeight="1" x14ac:dyDescent="0.3">
      <c r="A3" s="7">
        <v>2</v>
      </c>
      <c r="B3" s="3" t="s">
        <v>70</v>
      </c>
      <c r="C3" s="3" t="s">
        <v>36</v>
      </c>
      <c r="D3" s="3" t="s">
        <v>8</v>
      </c>
      <c r="E3" s="3" t="s">
        <v>5</v>
      </c>
      <c r="F3" s="3" t="s">
        <v>71</v>
      </c>
      <c r="G3" s="3" t="s">
        <v>72</v>
      </c>
      <c r="H3" s="3" t="s">
        <v>73</v>
      </c>
      <c r="I3" s="3" t="s">
        <v>145</v>
      </c>
      <c r="J3" s="3" t="s">
        <v>74</v>
      </c>
      <c r="K3" s="3" t="s">
        <v>74</v>
      </c>
      <c r="L3" s="3" t="s">
        <v>69</v>
      </c>
      <c r="M3" s="8"/>
    </row>
    <row r="4" spans="1:13" ht="57" customHeight="1" x14ac:dyDescent="0.3">
      <c r="A4" s="7">
        <v>3</v>
      </c>
      <c r="B4" s="3" t="s">
        <v>75</v>
      </c>
      <c r="C4" s="3" t="s">
        <v>38</v>
      </c>
      <c r="D4" s="3" t="s">
        <v>10</v>
      </c>
      <c r="E4" s="3" t="s">
        <v>5</v>
      </c>
      <c r="F4" s="3" t="s">
        <v>76</v>
      </c>
      <c r="G4" s="3" t="s">
        <v>72</v>
      </c>
      <c r="H4" s="3" t="s">
        <v>77</v>
      </c>
      <c r="I4" s="3" t="s">
        <v>146</v>
      </c>
      <c r="J4" s="3" t="s">
        <v>78</v>
      </c>
      <c r="K4" s="3" t="s">
        <v>78</v>
      </c>
      <c r="L4" s="3" t="s">
        <v>69</v>
      </c>
      <c r="M4" s="8"/>
    </row>
    <row r="5" spans="1:13" ht="34.950000000000003" customHeight="1" x14ac:dyDescent="0.3">
      <c r="A5" s="7">
        <v>4</v>
      </c>
      <c r="B5" s="3" t="s">
        <v>79</v>
      </c>
      <c r="C5" s="3" t="s">
        <v>38</v>
      </c>
      <c r="D5" s="3" t="s">
        <v>10</v>
      </c>
      <c r="E5" s="3" t="s">
        <v>5</v>
      </c>
      <c r="F5" s="3" t="s">
        <v>80</v>
      </c>
      <c r="G5" s="3" t="s">
        <v>72</v>
      </c>
      <c r="H5" s="3" t="s">
        <v>81</v>
      </c>
      <c r="I5" s="3" t="s">
        <v>147</v>
      </c>
      <c r="J5" s="3" t="s">
        <v>82</v>
      </c>
      <c r="K5" s="3" t="s">
        <v>82</v>
      </c>
      <c r="L5" s="3" t="s">
        <v>69</v>
      </c>
      <c r="M5" s="8"/>
    </row>
    <row r="6" spans="1:13" ht="34.950000000000003" customHeight="1" x14ac:dyDescent="0.3">
      <c r="A6" s="7">
        <v>5</v>
      </c>
      <c r="B6" s="3" t="s">
        <v>83</v>
      </c>
      <c r="C6" s="3" t="s">
        <v>38</v>
      </c>
      <c r="D6" s="3" t="s">
        <v>10</v>
      </c>
      <c r="E6" s="3" t="s">
        <v>5</v>
      </c>
      <c r="F6" s="3" t="s">
        <v>84</v>
      </c>
      <c r="G6" s="3" t="s">
        <v>72</v>
      </c>
      <c r="H6" s="3" t="s">
        <v>85</v>
      </c>
      <c r="I6" s="3" t="s">
        <v>148</v>
      </c>
      <c r="J6" s="3" t="s">
        <v>86</v>
      </c>
      <c r="K6" s="3" t="s">
        <v>78</v>
      </c>
      <c r="L6" s="3" t="s">
        <v>69</v>
      </c>
      <c r="M6" s="8"/>
    </row>
    <row r="7" spans="1:13" ht="52.2" customHeight="1" x14ac:dyDescent="0.3">
      <c r="A7" s="7">
        <v>6</v>
      </c>
      <c r="B7" s="3" t="s">
        <v>87</v>
      </c>
      <c r="C7" s="3" t="s">
        <v>40</v>
      </c>
      <c r="D7" s="3" t="s">
        <v>12</v>
      </c>
      <c r="E7" s="3" t="s">
        <v>13</v>
      </c>
      <c r="F7" s="3" t="s">
        <v>88</v>
      </c>
      <c r="G7" s="3" t="s">
        <v>74</v>
      </c>
      <c r="H7" s="3" t="s">
        <v>89</v>
      </c>
      <c r="I7" s="3" t="s">
        <v>149</v>
      </c>
      <c r="J7" s="3" t="s">
        <v>90</v>
      </c>
      <c r="K7" s="3" t="s">
        <v>91</v>
      </c>
      <c r="L7" s="3" t="s">
        <v>69</v>
      </c>
      <c r="M7" s="8"/>
    </row>
    <row r="8" spans="1:13" ht="34.950000000000003" customHeight="1" x14ac:dyDescent="0.3">
      <c r="A8" s="7">
        <v>7</v>
      </c>
      <c r="B8" s="3" t="s">
        <v>92</v>
      </c>
      <c r="C8" s="3" t="s">
        <v>42</v>
      </c>
      <c r="D8" s="3" t="s">
        <v>15</v>
      </c>
      <c r="E8" s="3" t="s">
        <v>13</v>
      </c>
      <c r="F8" s="3" t="s">
        <v>93</v>
      </c>
      <c r="G8" s="3" t="s">
        <v>90</v>
      </c>
      <c r="H8" s="3" t="s">
        <v>89</v>
      </c>
      <c r="I8" s="3" t="s">
        <v>94</v>
      </c>
      <c r="J8" s="3" t="s">
        <v>95</v>
      </c>
      <c r="K8" s="3" t="s">
        <v>95</v>
      </c>
      <c r="L8" s="3" t="s">
        <v>69</v>
      </c>
      <c r="M8" s="8"/>
    </row>
    <row r="9" spans="1:13" ht="34.950000000000003" customHeight="1" x14ac:dyDescent="0.3">
      <c r="A9" s="7">
        <v>8</v>
      </c>
      <c r="B9" s="3" t="s">
        <v>96</v>
      </c>
      <c r="C9" s="3" t="s">
        <v>40</v>
      </c>
      <c r="D9" s="3" t="s">
        <v>12</v>
      </c>
      <c r="E9" s="3" t="s">
        <v>13</v>
      </c>
      <c r="F9" s="3" t="s">
        <v>97</v>
      </c>
      <c r="G9" s="3" t="s">
        <v>74</v>
      </c>
      <c r="H9" s="3" t="s">
        <v>98</v>
      </c>
      <c r="I9" s="3" t="s">
        <v>150</v>
      </c>
      <c r="J9" s="3" t="s">
        <v>90</v>
      </c>
      <c r="K9" s="3" t="s">
        <v>91</v>
      </c>
      <c r="L9" s="3" t="s">
        <v>69</v>
      </c>
      <c r="M9" s="8"/>
    </row>
    <row r="10" spans="1:13" ht="34.950000000000003" customHeight="1" x14ac:dyDescent="0.3">
      <c r="A10" s="7">
        <v>9</v>
      </c>
      <c r="B10" s="3" t="s">
        <v>99</v>
      </c>
      <c r="C10" s="3" t="s">
        <v>40</v>
      </c>
      <c r="D10" s="3" t="s">
        <v>12</v>
      </c>
      <c r="E10" s="3" t="s">
        <v>13</v>
      </c>
      <c r="F10" s="3" t="s">
        <v>100</v>
      </c>
      <c r="G10" s="3" t="s">
        <v>74</v>
      </c>
      <c r="H10" s="3" t="s">
        <v>101</v>
      </c>
      <c r="I10" s="3" t="s">
        <v>151</v>
      </c>
      <c r="J10" s="3" t="s">
        <v>90</v>
      </c>
      <c r="K10" s="3" t="s">
        <v>91</v>
      </c>
      <c r="L10" s="3" t="s">
        <v>69</v>
      </c>
      <c r="M10" s="8"/>
    </row>
    <row r="11" spans="1:13" ht="34.950000000000003" customHeight="1" x14ac:dyDescent="0.3">
      <c r="A11" s="7">
        <v>10</v>
      </c>
      <c r="B11" s="3" t="s">
        <v>102</v>
      </c>
      <c r="C11" s="3" t="s">
        <v>44</v>
      </c>
      <c r="D11" s="3" t="s">
        <v>17</v>
      </c>
      <c r="E11" s="3" t="s">
        <v>18</v>
      </c>
      <c r="F11" s="3" t="s">
        <v>103</v>
      </c>
      <c r="G11" s="3" t="s">
        <v>104</v>
      </c>
      <c r="H11" s="3" t="s">
        <v>105</v>
      </c>
      <c r="I11" s="3" t="s">
        <v>106</v>
      </c>
      <c r="J11" s="3" t="s">
        <v>107</v>
      </c>
      <c r="K11" s="3" t="s">
        <v>108</v>
      </c>
      <c r="L11" s="3" t="s">
        <v>69</v>
      </c>
      <c r="M11" s="8"/>
    </row>
    <row r="12" spans="1:13" ht="34.950000000000003" customHeight="1" x14ac:dyDescent="0.3">
      <c r="A12" s="7">
        <v>11</v>
      </c>
      <c r="B12" s="3" t="s">
        <v>109</v>
      </c>
      <c r="C12" s="3" t="s">
        <v>44</v>
      </c>
      <c r="D12" s="3" t="s">
        <v>17</v>
      </c>
      <c r="E12" s="3" t="s">
        <v>18</v>
      </c>
      <c r="F12" s="3" t="s">
        <v>110</v>
      </c>
      <c r="G12" s="3" t="s">
        <v>111</v>
      </c>
      <c r="H12" s="3" t="s">
        <v>105</v>
      </c>
      <c r="I12" s="3" t="s">
        <v>112</v>
      </c>
      <c r="J12" s="3" t="s">
        <v>113</v>
      </c>
      <c r="K12" s="3" t="s">
        <v>113</v>
      </c>
      <c r="L12" s="3" t="s">
        <v>69</v>
      </c>
      <c r="M12" s="8"/>
    </row>
    <row r="13" spans="1:13" ht="54.6" customHeight="1" x14ac:dyDescent="0.3">
      <c r="A13" s="7">
        <v>12</v>
      </c>
      <c r="B13" s="3" t="s">
        <v>114</v>
      </c>
      <c r="C13" s="3" t="s">
        <v>46</v>
      </c>
      <c r="D13" s="3" t="s">
        <v>21</v>
      </c>
      <c r="E13" s="3" t="s">
        <v>22</v>
      </c>
      <c r="F13" s="3" t="s">
        <v>115</v>
      </c>
      <c r="G13" s="3" t="s">
        <v>104</v>
      </c>
      <c r="H13" s="3" t="s">
        <v>116</v>
      </c>
      <c r="I13" s="3" t="s">
        <v>152</v>
      </c>
      <c r="J13" s="3" t="s">
        <v>117</v>
      </c>
      <c r="K13" s="3" t="s">
        <v>118</v>
      </c>
      <c r="L13" s="3" t="s">
        <v>69</v>
      </c>
      <c r="M13" s="8"/>
    </row>
    <row r="14" spans="1:13" ht="34.950000000000003" customHeight="1" x14ac:dyDescent="0.3">
      <c r="A14" s="7">
        <v>13</v>
      </c>
      <c r="B14" s="3" t="s">
        <v>119</v>
      </c>
      <c r="C14" s="3" t="s">
        <v>46</v>
      </c>
      <c r="D14" s="3" t="s">
        <v>21</v>
      </c>
      <c r="E14" s="3" t="s">
        <v>22</v>
      </c>
      <c r="F14" s="3" t="s">
        <v>120</v>
      </c>
      <c r="G14" s="3" t="s">
        <v>104</v>
      </c>
      <c r="H14" s="3" t="s">
        <v>81</v>
      </c>
      <c r="I14" s="3" t="s">
        <v>153</v>
      </c>
      <c r="J14" s="3" t="s">
        <v>121</v>
      </c>
      <c r="K14" s="3" t="s">
        <v>82</v>
      </c>
      <c r="L14" s="3" t="s">
        <v>69</v>
      </c>
      <c r="M14" s="8"/>
    </row>
    <row r="15" spans="1:13" ht="34.950000000000003" customHeight="1" x14ac:dyDescent="0.3">
      <c r="A15" s="7">
        <v>14</v>
      </c>
      <c r="B15" s="3" t="s">
        <v>122</v>
      </c>
      <c r="C15" s="3" t="s">
        <v>46</v>
      </c>
      <c r="D15" s="3" t="s">
        <v>21</v>
      </c>
      <c r="E15" s="3" t="s">
        <v>22</v>
      </c>
      <c r="F15" s="3" t="s">
        <v>123</v>
      </c>
      <c r="G15" s="3" t="s">
        <v>104</v>
      </c>
      <c r="H15" s="3" t="s">
        <v>124</v>
      </c>
      <c r="I15" s="3" t="s">
        <v>154</v>
      </c>
      <c r="J15" s="3" t="s">
        <v>118</v>
      </c>
      <c r="K15" s="3" t="s">
        <v>118</v>
      </c>
      <c r="L15" s="3" t="s">
        <v>69</v>
      </c>
      <c r="M15" s="8"/>
    </row>
    <row r="16" spans="1:13" ht="34.950000000000003" customHeight="1" x14ac:dyDescent="0.3">
      <c r="A16" s="7">
        <v>15</v>
      </c>
      <c r="B16" s="3" t="s">
        <v>125</v>
      </c>
      <c r="C16" s="3" t="s">
        <v>48</v>
      </c>
      <c r="D16" s="3" t="s">
        <v>24</v>
      </c>
      <c r="E16" s="3" t="s">
        <v>49</v>
      </c>
      <c r="F16" s="3" t="s">
        <v>126</v>
      </c>
      <c r="G16" s="3" t="s">
        <v>74</v>
      </c>
      <c r="H16" s="3" t="s">
        <v>127</v>
      </c>
      <c r="I16" s="3" t="s">
        <v>155</v>
      </c>
      <c r="J16" s="3" t="s">
        <v>128</v>
      </c>
      <c r="K16" s="3" t="s">
        <v>128</v>
      </c>
      <c r="L16" s="3" t="s">
        <v>69</v>
      </c>
      <c r="M16" s="8"/>
    </row>
    <row r="17" spans="1:13" ht="34.950000000000003" customHeight="1" x14ac:dyDescent="0.3">
      <c r="A17" s="7">
        <v>16</v>
      </c>
      <c r="B17" s="3" t="s">
        <v>129</v>
      </c>
      <c r="C17" s="3" t="s">
        <v>51</v>
      </c>
      <c r="D17" s="3" t="s">
        <v>27</v>
      </c>
      <c r="E17" s="3" t="s">
        <v>49</v>
      </c>
      <c r="F17" s="3" t="s">
        <v>130</v>
      </c>
      <c r="G17" s="3" t="s">
        <v>131</v>
      </c>
      <c r="H17" s="3" t="s">
        <v>105</v>
      </c>
      <c r="I17" s="3" t="s">
        <v>156</v>
      </c>
      <c r="J17" s="3" t="s">
        <v>132</v>
      </c>
      <c r="K17" s="3" t="s">
        <v>132</v>
      </c>
      <c r="L17" s="3" t="s">
        <v>69</v>
      </c>
      <c r="M17" s="8"/>
    </row>
    <row r="18" spans="1:13" ht="34.950000000000003" customHeight="1" x14ac:dyDescent="0.3">
      <c r="A18" s="7">
        <v>17</v>
      </c>
      <c r="B18" s="3" t="s">
        <v>133</v>
      </c>
      <c r="C18" s="3" t="s">
        <v>48</v>
      </c>
      <c r="D18" s="3" t="s">
        <v>24</v>
      </c>
      <c r="E18" s="3" t="s">
        <v>49</v>
      </c>
      <c r="F18" s="3" t="s">
        <v>134</v>
      </c>
      <c r="G18" s="3" t="s">
        <v>135</v>
      </c>
      <c r="H18" s="3" t="s">
        <v>105</v>
      </c>
      <c r="I18" s="3" t="s">
        <v>136</v>
      </c>
      <c r="J18" s="3" t="s">
        <v>137</v>
      </c>
      <c r="K18" s="3" t="s">
        <v>138</v>
      </c>
      <c r="L18" s="3" t="s">
        <v>69</v>
      </c>
      <c r="M18" s="8"/>
    </row>
    <row r="19" spans="1:13" ht="34.950000000000003" customHeight="1" thickBot="1" x14ac:dyDescent="0.35">
      <c r="A19" s="9">
        <v>18</v>
      </c>
      <c r="B19" s="10" t="s">
        <v>139</v>
      </c>
      <c r="C19" s="10" t="s">
        <v>53</v>
      </c>
      <c r="D19" s="10" t="s">
        <v>29</v>
      </c>
      <c r="E19" s="10" t="s">
        <v>30</v>
      </c>
      <c r="F19" s="10" t="s">
        <v>140</v>
      </c>
      <c r="G19" s="10" t="s">
        <v>74</v>
      </c>
      <c r="H19" s="10" t="s">
        <v>105</v>
      </c>
      <c r="I19" s="10" t="s">
        <v>157</v>
      </c>
      <c r="J19" s="10" t="s">
        <v>141</v>
      </c>
      <c r="K19" s="10" t="s">
        <v>142</v>
      </c>
      <c r="L19" s="10" t="s">
        <v>69</v>
      </c>
      <c r="M19" s="11"/>
    </row>
    <row r="20" spans="1:13" ht="18.60000000000000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autoFilter ref="L1:L20" xr:uid="{C08F9DD3-7BDD-41D6-9D89-4D06178CE7C8}"/>
  <conditionalFormatting sqref="L1:L1048576">
    <cfRule type="containsText" dxfId="18" priority="1" operator="containsText" text="Fail">
      <formula>NOT(ISERROR(SEARCH("Fail",L1)))</formula>
    </cfRule>
    <cfRule type="containsText" dxfId="17" priority="2" operator="containsText" text="Pass">
      <formula>NOT(ISERROR(SEARCH("Pass",L1)))</formula>
    </cfRule>
  </conditionalFormatting>
  <dataValidations count="1">
    <dataValidation type="list" allowBlank="1" showInputMessage="1" showErrorMessage="1" sqref="L1:L1048576" xr:uid="{8A08B1EE-65B6-4688-8BF9-7C8EFD09C497}">
      <formula1>"Pass,Fail,Blocked"</formula1>
    </dataValidation>
  </dataValidations>
  <hyperlinks>
    <hyperlink ref="H2" r:id="rId1" xr:uid="{C10E2CB4-3CC9-44B4-9959-9209D2B986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8430-B1C9-4FAE-B22F-901EDFAC0F87}">
  <dimension ref="A1:G27"/>
  <sheetViews>
    <sheetView topLeftCell="A18" workbookViewId="0">
      <selection activeCell="E8" sqref="E8"/>
    </sheetView>
  </sheetViews>
  <sheetFormatPr defaultRowHeight="14.4" x14ac:dyDescent="0.3"/>
  <cols>
    <col min="2" max="2" width="25.77734375" customWidth="1"/>
    <col min="3" max="3" width="21" customWidth="1"/>
    <col min="4" max="4" width="22.44140625" customWidth="1"/>
    <col min="5" max="5" width="25.77734375" customWidth="1"/>
    <col min="6" max="6" width="18.77734375" customWidth="1"/>
    <col min="7" max="7" width="43.88671875" customWidth="1"/>
  </cols>
  <sheetData>
    <row r="1" spans="1:7" x14ac:dyDescent="0.3">
      <c r="C1" s="29" t="s">
        <v>217</v>
      </c>
      <c r="D1" s="30"/>
      <c r="E1" s="30"/>
      <c r="F1" s="31"/>
    </row>
    <row r="2" spans="1:7" x14ac:dyDescent="0.3">
      <c r="C2" s="25" t="s">
        <v>218</v>
      </c>
      <c r="D2" s="26"/>
      <c r="E2" s="21">
        <f>COUNTA(F9:F100)</f>
        <v>18</v>
      </c>
      <c r="F2" s="22"/>
    </row>
    <row r="3" spans="1:7" x14ac:dyDescent="0.3">
      <c r="C3" s="25" t="s">
        <v>219</v>
      </c>
      <c r="D3" s="26"/>
      <c r="E3" s="21">
        <f>COUNTIF(F9:F100,"pass")</f>
        <v>16</v>
      </c>
      <c r="F3" s="22"/>
    </row>
    <row r="4" spans="1:7" x14ac:dyDescent="0.3">
      <c r="C4" s="25" t="s">
        <v>220</v>
      </c>
      <c r="D4" s="26"/>
      <c r="E4" s="21">
        <f>COUNTIF(F9:F100,"fail")</f>
        <v>2</v>
      </c>
      <c r="F4" s="22"/>
    </row>
    <row r="5" spans="1:7" x14ac:dyDescent="0.3">
      <c r="C5" s="25" t="s">
        <v>221</v>
      </c>
      <c r="D5" s="26"/>
      <c r="E5" s="21">
        <f>COUNTIF(F9:F100,"blocked")</f>
        <v>0</v>
      </c>
      <c r="F5" s="22"/>
    </row>
    <row r="6" spans="1:7" ht="15" thickBot="1" x14ac:dyDescent="0.35">
      <c r="C6" s="27" t="s">
        <v>222</v>
      </c>
      <c r="D6" s="28"/>
      <c r="E6" s="23">
        <f>E3/E2</f>
        <v>0.88888888888888884</v>
      </c>
      <c r="F6" s="24"/>
    </row>
    <row r="7" spans="1:7" ht="15" thickBot="1" x14ac:dyDescent="0.35"/>
    <row r="8" spans="1:7" ht="34.950000000000003" customHeight="1" x14ac:dyDescent="0.3">
      <c r="A8" s="12" t="s">
        <v>179</v>
      </c>
      <c r="B8" s="5" t="s">
        <v>55</v>
      </c>
      <c r="C8" s="5" t="s">
        <v>1</v>
      </c>
      <c r="D8" s="5" t="s">
        <v>158</v>
      </c>
      <c r="E8" s="5" t="s">
        <v>159</v>
      </c>
      <c r="F8" s="5" t="s">
        <v>62</v>
      </c>
      <c r="G8" s="6" t="s">
        <v>160</v>
      </c>
    </row>
    <row r="9" spans="1:7" ht="34.950000000000003" customHeight="1" x14ac:dyDescent="0.3">
      <c r="A9" s="13">
        <v>1</v>
      </c>
      <c r="B9" s="3" t="s">
        <v>64</v>
      </c>
      <c r="C9" s="3" t="s">
        <v>5</v>
      </c>
      <c r="D9" s="3" t="s">
        <v>216</v>
      </c>
      <c r="E9" s="18">
        <v>46091</v>
      </c>
      <c r="F9" s="3" t="s">
        <v>69</v>
      </c>
      <c r="G9" s="8" t="s">
        <v>161</v>
      </c>
    </row>
    <row r="10" spans="1:7" ht="34.950000000000003" customHeight="1" x14ac:dyDescent="0.3">
      <c r="A10" s="13">
        <v>2</v>
      </c>
      <c r="B10" s="3" t="s">
        <v>70</v>
      </c>
      <c r="C10" s="3" t="s">
        <v>5</v>
      </c>
      <c r="D10" s="3" t="s">
        <v>216</v>
      </c>
      <c r="E10" s="18">
        <v>46091</v>
      </c>
      <c r="F10" s="3" t="s">
        <v>69</v>
      </c>
      <c r="G10" s="8" t="s">
        <v>162</v>
      </c>
    </row>
    <row r="11" spans="1:7" ht="34.950000000000003" customHeight="1" x14ac:dyDescent="0.3">
      <c r="A11" s="13">
        <v>3</v>
      </c>
      <c r="B11" s="3" t="s">
        <v>75</v>
      </c>
      <c r="C11" s="3" t="s">
        <v>5</v>
      </c>
      <c r="D11" s="3" t="s">
        <v>216</v>
      </c>
      <c r="E11" s="18">
        <v>46091</v>
      </c>
      <c r="F11" s="3" t="s">
        <v>69</v>
      </c>
      <c r="G11" s="8" t="s">
        <v>163</v>
      </c>
    </row>
    <row r="12" spans="1:7" ht="34.950000000000003" customHeight="1" x14ac:dyDescent="0.3">
      <c r="A12" s="13">
        <v>4</v>
      </c>
      <c r="B12" s="3" t="s">
        <v>79</v>
      </c>
      <c r="C12" s="3" t="s">
        <v>5</v>
      </c>
      <c r="D12" s="3" t="s">
        <v>216</v>
      </c>
      <c r="E12" s="18">
        <v>46091</v>
      </c>
      <c r="F12" s="3" t="s">
        <v>69</v>
      </c>
      <c r="G12" s="8" t="s">
        <v>164</v>
      </c>
    </row>
    <row r="13" spans="1:7" ht="34.950000000000003" customHeight="1" x14ac:dyDescent="0.3">
      <c r="A13" s="13">
        <v>5</v>
      </c>
      <c r="B13" s="3" t="s">
        <v>83</v>
      </c>
      <c r="C13" s="3" t="s">
        <v>5</v>
      </c>
      <c r="D13" s="3" t="s">
        <v>216</v>
      </c>
      <c r="E13" s="18">
        <v>46091</v>
      </c>
      <c r="F13" s="3" t="s">
        <v>69</v>
      </c>
      <c r="G13" s="8" t="s">
        <v>165</v>
      </c>
    </row>
    <row r="14" spans="1:7" ht="34.950000000000003" customHeight="1" x14ac:dyDescent="0.3">
      <c r="A14" s="13">
        <v>6</v>
      </c>
      <c r="B14" s="3" t="s">
        <v>87</v>
      </c>
      <c r="C14" s="3" t="s">
        <v>13</v>
      </c>
      <c r="D14" s="3" t="s">
        <v>216</v>
      </c>
      <c r="E14" s="18">
        <v>46091</v>
      </c>
      <c r="F14" s="3" t="s">
        <v>69</v>
      </c>
      <c r="G14" s="8" t="s">
        <v>166</v>
      </c>
    </row>
    <row r="15" spans="1:7" ht="34.950000000000003" customHeight="1" x14ac:dyDescent="0.3">
      <c r="A15" s="13">
        <v>7</v>
      </c>
      <c r="B15" s="3" t="s">
        <v>92</v>
      </c>
      <c r="C15" s="3" t="s">
        <v>13</v>
      </c>
      <c r="D15" s="3" t="s">
        <v>216</v>
      </c>
      <c r="E15" s="18">
        <v>46091</v>
      </c>
      <c r="F15" s="3" t="s">
        <v>69</v>
      </c>
      <c r="G15" s="8" t="s">
        <v>167</v>
      </c>
    </row>
    <row r="16" spans="1:7" ht="34.950000000000003" customHeight="1" x14ac:dyDescent="0.3">
      <c r="A16" s="13">
        <v>8</v>
      </c>
      <c r="B16" s="3" t="s">
        <v>96</v>
      </c>
      <c r="C16" s="3" t="s">
        <v>13</v>
      </c>
      <c r="D16" s="3" t="s">
        <v>216</v>
      </c>
      <c r="E16" s="18">
        <v>46091</v>
      </c>
      <c r="F16" s="3" t="s">
        <v>69</v>
      </c>
      <c r="G16" s="8" t="s">
        <v>168</v>
      </c>
    </row>
    <row r="17" spans="1:7" ht="34.950000000000003" customHeight="1" x14ac:dyDescent="0.3">
      <c r="A17" s="13">
        <v>9</v>
      </c>
      <c r="B17" s="3" t="s">
        <v>99</v>
      </c>
      <c r="C17" s="3" t="s">
        <v>13</v>
      </c>
      <c r="D17" s="3" t="s">
        <v>216</v>
      </c>
      <c r="E17" s="18">
        <v>46091</v>
      </c>
      <c r="F17" s="3" t="s">
        <v>69</v>
      </c>
      <c r="G17" s="8" t="s">
        <v>169</v>
      </c>
    </row>
    <row r="18" spans="1:7" ht="34.950000000000003" customHeight="1" x14ac:dyDescent="0.3">
      <c r="A18" s="13">
        <v>10</v>
      </c>
      <c r="B18" s="3" t="s">
        <v>102</v>
      </c>
      <c r="C18" s="3" t="s">
        <v>18</v>
      </c>
      <c r="D18" s="3" t="s">
        <v>216</v>
      </c>
      <c r="E18" s="18">
        <v>46091</v>
      </c>
      <c r="F18" s="3" t="s">
        <v>69</v>
      </c>
      <c r="G18" s="8" t="s">
        <v>170</v>
      </c>
    </row>
    <row r="19" spans="1:7" ht="34.950000000000003" customHeight="1" x14ac:dyDescent="0.3">
      <c r="A19" s="13">
        <v>11</v>
      </c>
      <c r="B19" s="3" t="s">
        <v>109</v>
      </c>
      <c r="C19" s="3" t="s">
        <v>18</v>
      </c>
      <c r="D19" s="3" t="s">
        <v>216</v>
      </c>
      <c r="E19" s="18">
        <v>46091</v>
      </c>
      <c r="F19" s="3" t="s">
        <v>69</v>
      </c>
      <c r="G19" s="8" t="s">
        <v>171</v>
      </c>
    </row>
    <row r="20" spans="1:7" ht="34.950000000000003" customHeight="1" x14ac:dyDescent="0.3">
      <c r="A20" s="13">
        <v>12</v>
      </c>
      <c r="B20" s="3" t="s">
        <v>114</v>
      </c>
      <c r="C20" s="3" t="s">
        <v>22</v>
      </c>
      <c r="D20" s="3" t="s">
        <v>216</v>
      </c>
      <c r="E20" s="18">
        <v>46091</v>
      </c>
      <c r="F20" s="3" t="s">
        <v>69</v>
      </c>
      <c r="G20" s="8" t="s">
        <v>172</v>
      </c>
    </row>
    <row r="21" spans="1:7" ht="34.950000000000003" customHeight="1" x14ac:dyDescent="0.3">
      <c r="A21" s="13">
        <v>13</v>
      </c>
      <c r="B21" s="3" t="s">
        <v>119</v>
      </c>
      <c r="C21" s="3" t="s">
        <v>22</v>
      </c>
      <c r="D21" s="3" t="s">
        <v>216</v>
      </c>
      <c r="E21" s="18">
        <v>46091</v>
      </c>
      <c r="F21" s="3" t="s">
        <v>173</v>
      </c>
      <c r="G21" s="8" t="s">
        <v>174</v>
      </c>
    </row>
    <row r="22" spans="1:7" ht="34.950000000000003" customHeight="1" x14ac:dyDescent="0.3">
      <c r="A22" s="13">
        <v>14</v>
      </c>
      <c r="B22" s="3" t="s">
        <v>122</v>
      </c>
      <c r="C22" s="3" t="s">
        <v>22</v>
      </c>
      <c r="D22" s="3" t="s">
        <v>216</v>
      </c>
      <c r="E22" s="18">
        <v>46091</v>
      </c>
      <c r="F22" s="3" t="s">
        <v>69</v>
      </c>
      <c r="G22" s="8" t="s">
        <v>175</v>
      </c>
    </row>
    <row r="23" spans="1:7" ht="34.950000000000003" customHeight="1" x14ac:dyDescent="0.3">
      <c r="A23" s="13">
        <v>15</v>
      </c>
      <c r="B23" s="3" t="s">
        <v>125</v>
      </c>
      <c r="C23" s="3" t="s">
        <v>49</v>
      </c>
      <c r="D23" s="3" t="s">
        <v>216</v>
      </c>
      <c r="E23" s="18">
        <v>46091</v>
      </c>
      <c r="F23" s="3" t="s">
        <v>69</v>
      </c>
      <c r="G23" s="8" t="s">
        <v>176</v>
      </c>
    </row>
    <row r="24" spans="1:7" ht="34.950000000000003" customHeight="1" x14ac:dyDescent="0.3">
      <c r="A24" s="13">
        <v>16</v>
      </c>
      <c r="B24" s="3" t="s">
        <v>129</v>
      </c>
      <c r="C24" s="3" t="s">
        <v>49</v>
      </c>
      <c r="D24" s="3" t="s">
        <v>216</v>
      </c>
      <c r="E24" s="18">
        <v>46091</v>
      </c>
      <c r="F24" s="3" t="s">
        <v>69</v>
      </c>
      <c r="G24" s="8" t="s">
        <v>177</v>
      </c>
    </row>
    <row r="25" spans="1:7" ht="34.950000000000003" customHeight="1" x14ac:dyDescent="0.3">
      <c r="A25" s="13">
        <v>17</v>
      </c>
      <c r="B25" s="3" t="s">
        <v>133</v>
      </c>
      <c r="C25" s="3" t="s">
        <v>49</v>
      </c>
      <c r="D25" s="3" t="s">
        <v>216</v>
      </c>
      <c r="E25" s="18">
        <v>46091</v>
      </c>
      <c r="F25" s="3" t="s">
        <v>173</v>
      </c>
      <c r="G25" s="8" t="s">
        <v>178</v>
      </c>
    </row>
    <row r="26" spans="1:7" ht="34.950000000000003" customHeight="1" thickBot="1" x14ac:dyDescent="0.35">
      <c r="A26" s="14">
        <v>18</v>
      </c>
      <c r="B26" s="10" t="s">
        <v>139</v>
      </c>
      <c r="C26" s="10" t="s">
        <v>30</v>
      </c>
      <c r="D26" s="3" t="s">
        <v>216</v>
      </c>
      <c r="E26" s="18">
        <v>46091</v>
      </c>
      <c r="F26" s="10" t="s">
        <v>69</v>
      </c>
      <c r="G26" s="11" t="s">
        <v>142</v>
      </c>
    </row>
    <row r="27" spans="1:7" ht="34.950000000000003" customHeight="1" x14ac:dyDescent="0.3">
      <c r="B27" s="1"/>
      <c r="C27" s="1"/>
      <c r="D27" s="1"/>
      <c r="E27" s="2"/>
      <c r="F27" s="1"/>
      <c r="G27" s="1"/>
    </row>
  </sheetData>
  <autoFilter ref="F8:F27" xr:uid="{5F338430-B1C9-4FAE-B22F-901EDFAC0F87}"/>
  <mergeCells count="11">
    <mergeCell ref="C1:F1"/>
    <mergeCell ref="E2:F2"/>
    <mergeCell ref="E3:F3"/>
    <mergeCell ref="E4:F4"/>
    <mergeCell ref="E5:F5"/>
    <mergeCell ref="E6:F6"/>
    <mergeCell ref="C2:D2"/>
    <mergeCell ref="C3:D3"/>
    <mergeCell ref="C4:D4"/>
    <mergeCell ref="C5:D5"/>
    <mergeCell ref="C6:D6"/>
  </mergeCells>
  <conditionalFormatting sqref="F7:F1048576">
    <cfRule type="containsText" dxfId="16" priority="1" operator="containsText" text="Fail">
      <formula>NOT(ISERROR(SEARCH("Fail",F7)))</formula>
    </cfRule>
    <cfRule type="containsText" dxfId="15" priority="2" operator="containsText" text="Pass">
      <formula>NOT(ISERROR(SEARCH("Pass",F7)))</formula>
    </cfRule>
  </conditionalFormatting>
  <dataValidations count="1">
    <dataValidation type="list" allowBlank="1" showInputMessage="1" showErrorMessage="1" sqref="F7:F1048576" xr:uid="{62EED9E8-2D7C-4992-BD55-71CB7428839B}">
      <formula1>"Pass,Fail,Blocked"</formula1>
    </dataValidation>
  </dataValidations>
  <pageMargins left="0.7" right="0.7" top="0.75" bottom="0.75" header="0.3" footer="0.3"/>
  <pageSetup paperSize="272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523D-EB7F-4EA8-841A-2059B28D1CDB}">
  <dimension ref="A1:M3"/>
  <sheetViews>
    <sheetView topLeftCell="F1" workbookViewId="0">
      <selection activeCell="H2" sqref="H2"/>
    </sheetView>
  </sheetViews>
  <sheetFormatPr defaultRowHeight="14.4" x14ac:dyDescent="0.3"/>
  <cols>
    <col min="1" max="1" width="11.5546875" customWidth="1"/>
    <col min="2" max="2" width="22" customWidth="1"/>
    <col min="3" max="3" width="22.109375" customWidth="1"/>
    <col min="4" max="4" width="19.21875" customWidth="1"/>
    <col min="5" max="5" width="32.5546875" customWidth="1"/>
    <col min="6" max="6" width="17.21875" customWidth="1"/>
    <col min="7" max="7" width="18.77734375" customWidth="1"/>
    <col min="8" max="8" width="18.109375" customWidth="1"/>
    <col min="9" max="13" width="27.77734375" customWidth="1"/>
  </cols>
  <sheetData>
    <row r="1" spans="1:13" ht="40.049999999999997" customHeight="1" x14ac:dyDescent="0.3">
      <c r="A1" s="12" t="s">
        <v>179</v>
      </c>
      <c r="B1" s="5" t="s">
        <v>181</v>
      </c>
      <c r="C1" s="5" t="s">
        <v>55</v>
      </c>
      <c r="D1" s="5" t="s">
        <v>1</v>
      </c>
      <c r="E1" s="5" t="s">
        <v>182</v>
      </c>
      <c r="F1" s="5" t="s">
        <v>183</v>
      </c>
      <c r="G1" s="5" t="s">
        <v>3</v>
      </c>
      <c r="H1" s="5" t="s">
        <v>62</v>
      </c>
      <c r="I1" s="5" t="s">
        <v>184</v>
      </c>
      <c r="J1" s="5" t="s">
        <v>60</v>
      </c>
      <c r="K1" s="5" t="s">
        <v>61</v>
      </c>
      <c r="L1" s="5" t="s">
        <v>185</v>
      </c>
      <c r="M1" s="6" t="s">
        <v>186</v>
      </c>
    </row>
    <row r="2" spans="1:13" ht="58.8" customHeight="1" x14ac:dyDescent="0.3">
      <c r="A2" s="13">
        <v>1</v>
      </c>
      <c r="B2" s="3" t="s">
        <v>187</v>
      </c>
      <c r="C2" s="3" t="s">
        <v>119</v>
      </c>
      <c r="D2" s="3" t="s">
        <v>22</v>
      </c>
      <c r="E2" s="3" t="s">
        <v>188</v>
      </c>
      <c r="F2" s="3" t="s">
        <v>20</v>
      </c>
      <c r="G2" s="3" t="s">
        <v>7</v>
      </c>
      <c r="H2" s="3" t="s">
        <v>189</v>
      </c>
      <c r="I2" s="3" t="s">
        <v>196</v>
      </c>
      <c r="J2" s="3" t="s">
        <v>190</v>
      </c>
      <c r="K2" s="3" t="s">
        <v>191</v>
      </c>
      <c r="L2" s="3" t="s">
        <v>216</v>
      </c>
      <c r="M2" s="19">
        <v>46091</v>
      </c>
    </row>
    <row r="3" spans="1:13" ht="40.049999999999997" customHeight="1" thickBot="1" x14ac:dyDescent="0.35">
      <c r="A3" s="14">
        <v>2</v>
      </c>
      <c r="B3" s="10" t="s">
        <v>192</v>
      </c>
      <c r="C3" s="10" t="s">
        <v>133</v>
      </c>
      <c r="D3" s="10" t="s">
        <v>25</v>
      </c>
      <c r="E3" s="10" t="s">
        <v>193</v>
      </c>
      <c r="F3" s="10" t="s">
        <v>7</v>
      </c>
      <c r="G3" s="10" t="s">
        <v>7</v>
      </c>
      <c r="H3" s="10" t="s">
        <v>189</v>
      </c>
      <c r="I3" s="10" t="s">
        <v>197</v>
      </c>
      <c r="J3" s="10" t="s">
        <v>194</v>
      </c>
      <c r="K3" s="10" t="s">
        <v>195</v>
      </c>
      <c r="L3" s="10" t="s">
        <v>216</v>
      </c>
      <c r="M3" s="20">
        <v>46091</v>
      </c>
    </row>
  </sheetData>
  <autoFilter ref="F1:H3" xr:uid="{F119523D-EB7F-4EA8-841A-2059B28D1CDB}"/>
  <conditionalFormatting sqref="F1:F1048576">
    <cfRule type="containsText" dxfId="14" priority="7" operator="containsText" text="high">
      <formula>NOT(ISERROR(SEARCH("high",F1)))</formula>
    </cfRule>
    <cfRule type="containsText" dxfId="13" priority="8" operator="containsText" text="Critical">
      <formula>NOT(ISERROR(SEARCH("Critical",F1)))</formula>
    </cfRule>
    <cfRule type="containsText" dxfId="12" priority="9" operator="containsText" text="Critical">
      <formula>NOT(ISERROR(SEARCH("Critical",F1)))</formula>
    </cfRule>
    <cfRule type="containsText" dxfId="11" priority="10" operator="containsText" text="Low">
      <formula>NOT(ISERROR(SEARCH("Low",F1)))</formula>
    </cfRule>
    <cfRule type="containsText" dxfId="10" priority="11" operator="containsText" text="Medium">
      <formula>NOT(ISERROR(SEARCH("Medium",F1)))</formula>
    </cfRule>
    <cfRule type="containsText" dxfId="9" priority="12" operator="containsText" text="High">
      <formula>NOT(ISERROR(SEARCH("High",F1)))</formula>
    </cfRule>
  </conditionalFormatting>
  <conditionalFormatting sqref="F1:G1048576">
    <cfRule type="containsText" dxfId="8" priority="5" operator="containsText" text="high">
      <formula>NOT(ISERROR(SEARCH("high",F1)))</formula>
    </cfRule>
  </conditionalFormatting>
  <conditionalFormatting sqref="H1:H1048576">
    <cfRule type="containsText" dxfId="7" priority="1" operator="containsText" text="Closed">
      <formula>NOT(ISERROR(SEARCH("Closed",H1)))</formula>
    </cfRule>
    <cfRule type="containsText" dxfId="6" priority="2" operator="containsText" text="Fixed">
      <formula>NOT(ISERROR(SEARCH("Fixed",H1)))</formula>
    </cfRule>
    <cfRule type="containsText" dxfId="5" priority="3" operator="containsText" text="In Progress">
      <formula>NOT(ISERROR(SEARCH("In Progress",H1)))</formula>
    </cfRule>
    <cfRule type="containsText" dxfId="4" priority="4" operator="containsText" text="Open">
      <formula>NOT(ISERROR(SEARCH("Open",H1)))</formula>
    </cfRule>
  </conditionalFormatting>
  <conditionalFormatting sqref="H3">
    <cfRule type="containsText" dxfId="3" priority="6" operator="containsText" text="Low">
      <formula>NOT(ISERROR(SEARCH("Low",H3)))</formula>
    </cfRule>
  </conditionalFormatting>
  <dataValidations count="3">
    <dataValidation type="list" allowBlank="1" showInputMessage="1" showErrorMessage="1" sqref="F1:F1048576" xr:uid="{05D6BB1E-1A31-4D63-AF62-60A2718BC09B}">
      <formula1>"Critical,High,Medium,Low"</formula1>
    </dataValidation>
    <dataValidation type="list" allowBlank="1" showInputMessage="1" showErrorMessage="1" sqref="G1:G1048576" xr:uid="{7D0354BF-CB9F-4AC4-88E4-B5D1689E2430}">
      <formula1>"High,Medium,Low"</formula1>
    </dataValidation>
    <dataValidation type="list" allowBlank="1" showInputMessage="1" showErrorMessage="1" sqref="H1:H1048576" xr:uid="{85ADE150-648C-44A8-AD24-091D0A6FF17E}">
      <formula1>"Open,In Progress,Fixed,Closed"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253D-BDF1-40F0-968F-BA7F8ED1A8B0}">
  <dimension ref="A1:F19"/>
  <sheetViews>
    <sheetView tabSelected="1" workbookViewId="0">
      <selection activeCell="H3" sqref="H3"/>
    </sheetView>
  </sheetViews>
  <sheetFormatPr defaultRowHeight="14.4" x14ac:dyDescent="0.3"/>
  <cols>
    <col min="2" max="4" width="27.77734375" customWidth="1"/>
    <col min="5" max="5" width="37.5546875" customWidth="1"/>
    <col min="6" max="6" width="22.6640625" customWidth="1"/>
  </cols>
  <sheetData>
    <row r="1" spans="1:6" ht="37.950000000000003" customHeight="1" x14ac:dyDescent="0.3">
      <c r="A1" s="12" t="s">
        <v>179</v>
      </c>
      <c r="B1" s="5" t="s">
        <v>0</v>
      </c>
      <c r="C1" s="5" t="s">
        <v>32</v>
      </c>
      <c r="D1" s="5" t="s">
        <v>55</v>
      </c>
      <c r="E1" s="5" t="s">
        <v>198</v>
      </c>
      <c r="F1" s="6" t="s">
        <v>199</v>
      </c>
    </row>
    <row r="2" spans="1:6" ht="37.950000000000003" customHeight="1" x14ac:dyDescent="0.3">
      <c r="A2" s="15">
        <v>1</v>
      </c>
      <c r="B2" s="3" t="s">
        <v>4</v>
      </c>
      <c r="C2" s="3" t="s">
        <v>34</v>
      </c>
      <c r="D2" s="3" t="s">
        <v>64</v>
      </c>
      <c r="E2" s="3" t="s">
        <v>35</v>
      </c>
      <c r="F2" s="8" t="s">
        <v>69</v>
      </c>
    </row>
    <row r="3" spans="1:6" ht="37.950000000000003" customHeight="1" x14ac:dyDescent="0.3">
      <c r="A3" s="15">
        <v>2</v>
      </c>
      <c r="B3" s="3" t="s">
        <v>8</v>
      </c>
      <c r="C3" s="3" t="s">
        <v>36</v>
      </c>
      <c r="D3" s="3" t="s">
        <v>70</v>
      </c>
      <c r="E3" s="3" t="s">
        <v>71</v>
      </c>
      <c r="F3" s="8" t="s">
        <v>69</v>
      </c>
    </row>
    <row r="4" spans="1:6" ht="37.950000000000003" customHeight="1" x14ac:dyDescent="0.3">
      <c r="A4" s="15">
        <v>3</v>
      </c>
      <c r="B4" s="3" t="s">
        <v>10</v>
      </c>
      <c r="C4" s="3" t="s">
        <v>38</v>
      </c>
      <c r="D4" s="3" t="s">
        <v>75</v>
      </c>
      <c r="E4" s="3" t="s">
        <v>76</v>
      </c>
      <c r="F4" s="8" t="s">
        <v>69</v>
      </c>
    </row>
    <row r="5" spans="1:6" ht="37.950000000000003" customHeight="1" x14ac:dyDescent="0.3">
      <c r="A5" s="15">
        <v>4</v>
      </c>
      <c r="B5" s="3" t="s">
        <v>10</v>
      </c>
      <c r="C5" s="3" t="s">
        <v>38</v>
      </c>
      <c r="D5" s="3" t="s">
        <v>79</v>
      </c>
      <c r="E5" s="3" t="s">
        <v>80</v>
      </c>
      <c r="F5" s="8" t="s">
        <v>69</v>
      </c>
    </row>
    <row r="6" spans="1:6" ht="37.950000000000003" customHeight="1" x14ac:dyDescent="0.3">
      <c r="A6" s="15">
        <v>5</v>
      </c>
      <c r="B6" s="3" t="s">
        <v>10</v>
      </c>
      <c r="C6" s="3" t="s">
        <v>38</v>
      </c>
      <c r="D6" s="3" t="s">
        <v>83</v>
      </c>
      <c r="E6" s="3" t="s">
        <v>84</v>
      </c>
      <c r="F6" s="8" t="s">
        <v>69</v>
      </c>
    </row>
    <row r="7" spans="1:6" ht="37.950000000000003" customHeight="1" x14ac:dyDescent="0.3">
      <c r="A7" s="15">
        <v>6</v>
      </c>
      <c r="B7" s="3" t="s">
        <v>12</v>
      </c>
      <c r="C7" s="3" t="s">
        <v>40</v>
      </c>
      <c r="D7" s="3" t="s">
        <v>87</v>
      </c>
      <c r="E7" s="3" t="s">
        <v>88</v>
      </c>
      <c r="F7" s="8" t="s">
        <v>69</v>
      </c>
    </row>
    <row r="8" spans="1:6" ht="37.950000000000003" customHeight="1" x14ac:dyDescent="0.3">
      <c r="A8" s="15">
        <v>7</v>
      </c>
      <c r="B8" s="3" t="s">
        <v>15</v>
      </c>
      <c r="C8" s="3" t="s">
        <v>42</v>
      </c>
      <c r="D8" s="3" t="s">
        <v>92</v>
      </c>
      <c r="E8" s="3" t="s">
        <v>93</v>
      </c>
      <c r="F8" s="8" t="s">
        <v>69</v>
      </c>
    </row>
    <row r="9" spans="1:6" ht="37.950000000000003" customHeight="1" x14ac:dyDescent="0.3">
      <c r="A9" s="15">
        <v>8</v>
      </c>
      <c r="B9" s="3" t="s">
        <v>12</v>
      </c>
      <c r="C9" s="3" t="s">
        <v>40</v>
      </c>
      <c r="D9" s="3" t="s">
        <v>96</v>
      </c>
      <c r="E9" s="3" t="s">
        <v>97</v>
      </c>
      <c r="F9" s="8" t="s">
        <v>69</v>
      </c>
    </row>
    <row r="10" spans="1:6" ht="37.950000000000003" customHeight="1" x14ac:dyDescent="0.3">
      <c r="A10" s="15">
        <v>9</v>
      </c>
      <c r="B10" s="3" t="s">
        <v>12</v>
      </c>
      <c r="C10" s="3" t="s">
        <v>40</v>
      </c>
      <c r="D10" s="3" t="s">
        <v>99</v>
      </c>
      <c r="E10" s="3" t="s">
        <v>100</v>
      </c>
      <c r="F10" s="8" t="s">
        <v>69</v>
      </c>
    </row>
    <row r="11" spans="1:6" ht="37.950000000000003" customHeight="1" x14ac:dyDescent="0.3">
      <c r="A11" s="15">
        <v>10</v>
      </c>
      <c r="B11" s="3" t="s">
        <v>17</v>
      </c>
      <c r="C11" s="3" t="s">
        <v>44</v>
      </c>
      <c r="D11" s="3" t="s">
        <v>102</v>
      </c>
      <c r="E11" s="3" t="s">
        <v>103</v>
      </c>
      <c r="F11" s="8" t="s">
        <v>69</v>
      </c>
    </row>
    <row r="12" spans="1:6" ht="37.950000000000003" customHeight="1" x14ac:dyDescent="0.3">
      <c r="A12" s="15">
        <v>11</v>
      </c>
      <c r="B12" s="3" t="s">
        <v>17</v>
      </c>
      <c r="C12" s="3" t="s">
        <v>44</v>
      </c>
      <c r="D12" s="3" t="s">
        <v>109</v>
      </c>
      <c r="E12" s="3" t="s">
        <v>110</v>
      </c>
      <c r="F12" s="8" t="s">
        <v>69</v>
      </c>
    </row>
    <row r="13" spans="1:6" ht="37.950000000000003" customHeight="1" x14ac:dyDescent="0.3">
      <c r="A13" s="15">
        <v>12</v>
      </c>
      <c r="B13" s="3" t="s">
        <v>21</v>
      </c>
      <c r="C13" s="3" t="s">
        <v>46</v>
      </c>
      <c r="D13" s="3" t="s">
        <v>114</v>
      </c>
      <c r="E13" s="3" t="s">
        <v>115</v>
      </c>
      <c r="F13" s="8" t="s">
        <v>69</v>
      </c>
    </row>
    <row r="14" spans="1:6" ht="37.950000000000003" customHeight="1" x14ac:dyDescent="0.3">
      <c r="A14" s="15">
        <v>13</v>
      </c>
      <c r="B14" s="3" t="s">
        <v>21</v>
      </c>
      <c r="C14" s="3" t="s">
        <v>46</v>
      </c>
      <c r="D14" s="3" t="s">
        <v>119</v>
      </c>
      <c r="E14" s="3" t="s">
        <v>120</v>
      </c>
      <c r="F14" s="8" t="s">
        <v>173</v>
      </c>
    </row>
    <row r="15" spans="1:6" ht="37.950000000000003" customHeight="1" x14ac:dyDescent="0.3">
      <c r="A15" s="15">
        <v>14</v>
      </c>
      <c r="B15" s="3" t="s">
        <v>21</v>
      </c>
      <c r="C15" s="3" t="s">
        <v>46</v>
      </c>
      <c r="D15" s="3" t="s">
        <v>122</v>
      </c>
      <c r="E15" s="3" t="s">
        <v>123</v>
      </c>
      <c r="F15" s="8" t="s">
        <v>69</v>
      </c>
    </row>
    <row r="16" spans="1:6" ht="37.950000000000003" customHeight="1" x14ac:dyDescent="0.3">
      <c r="A16" s="15">
        <v>15</v>
      </c>
      <c r="B16" s="3" t="s">
        <v>24</v>
      </c>
      <c r="C16" s="3" t="s">
        <v>48</v>
      </c>
      <c r="D16" s="3" t="s">
        <v>125</v>
      </c>
      <c r="E16" s="3" t="s">
        <v>126</v>
      </c>
      <c r="F16" s="8" t="s">
        <v>69</v>
      </c>
    </row>
    <row r="17" spans="1:6" ht="37.950000000000003" customHeight="1" x14ac:dyDescent="0.3">
      <c r="A17" s="15">
        <v>16</v>
      </c>
      <c r="B17" s="3" t="s">
        <v>27</v>
      </c>
      <c r="C17" s="3" t="s">
        <v>51</v>
      </c>
      <c r="D17" s="3" t="s">
        <v>129</v>
      </c>
      <c r="E17" s="3" t="s">
        <v>130</v>
      </c>
      <c r="F17" s="8" t="s">
        <v>69</v>
      </c>
    </row>
    <row r="18" spans="1:6" ht="37.950000000000003" customHeight="1" x14ac:dyDescent="0.3">
      <c r="A18" s="15">
        <v>17</v>
      </c>
      <c r="B18" s="3" t="s">
        <v>24</v>
      </c>
      <c r="C18" s="3" t="s">
        <v>48</v>
      </c>
      <c r="D18" s="3" t="s">
        <v>133</v>
      </c>
      <c r="E18" s="3" t="s">
        <v>134</v>
      </c>
      <c r="F18" s="8" t="s">
        <v>173</v>
      </c>
    </row>
    <row r="19" spans="1:6" ht="37.950000000000003" customHeight="1" thickBot="1" x14ac:dyDescent="0.35">
      <c r="A19" s="16">
        <v>18</v>
      </c>
      <c r="B19" s="10" t="s">
        <v>29</v>
      </c>
      <c r="C19" s="10" t="s">
        <v>53</v>
      </c>
      <c r="D19" s="10" t="s">
        <v>139</v>
      </c>
      <c r="E19" s="10" t="s">
        <v>140</v>
      </c>
      <c r="F19" s="11" t="s">
        <v>69</v>
      </c>
    </row>
  </sheetData>
  <autoFilter ref="F1:F19" xr:uid="{06D1253D-BDF1-40F0-968F-BA7F8ED1A8B0}"/>
  <conditionalFormatting sqref="F1:F1048576">
    <cfRule type="containsText" dxfId="0" priority="2" operator="containsText" text="Pass">
      <formula>NOT(ISERROR(SEARCH("Pass",F1)))</formula>
    </cfRule>
    <cfRule type="containsText" dxfId="1" priority="1" operator="containsText" text="Fail">
      <formula>NOT(ISERROR(SEARCH("Fail",F1)))</formula>
    </cfRule>
  </conditionalFormatting>
  <dataValidations count="1">
    <dataValidation type="list" allowBlank="1" showInputMessage="1" showErrorMessage="1" sqref="F1:F1048576" xr:uid="{3BD0BE7E-16ED-47FD-90DB-7B727D09E3D6}">
      <formula1>"Pass,Fail,Blocked"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Requirements</vt:lpstr>
      <vt:lpstr>Test Plan</vt:lpstr>
      <vt:lpstr>Test Scenarios</vt:lpstr>
      <vt:lpstr>Test Cases</vt:lpstr>
      <vt:lpstr>Test Execution</vt:lpstr>
      <vt:lpstr>Bug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Maria</dc:creator>
  <cp:lastModifiedBy>Linda Maria</cp:lastModifiedBy>
  <dcterms:created xsi:type="dcterms:W3CDTF">2026-03-12T05:51:39Z</dcterms:created>
  <dcterms:modified xsi:type="dcterms:W3CDTF">2026-03-12T12:33:15Z</dcterms:modified>
</cp:coreProperties>
</file>